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prateekgarg/Downloads/"/>
    </mc:Choice>
  </mc:AlternateContent>
  <xr:revisionPtr revIDLastSave="0" documentId="13_ncr:1_{1E2D9B08-0D8E-0C42-B522-485213BFEF59}" xr6:coauthVersionLast="47" xr6:coauthVersionMax="47" xr10:uidLastSave="{00000000-0000-0000-0000-000000000000}"/>
  <bookViews>
    <workbookView xWindow="0" yWindow="600" windowWidth="68800" windowHeight="26400" activeTab="6" xr2:uid="{00000000-000D-0000-FFFF-FFFF00000000}"/>
  </bookViews>
  <sheets>
    <sheet name="Inputs" sheetId="1" r:id="rId1"/>
    <sheet name="Model_Configs" sheetId="2" r:id="rId2"/>
    <sheet name="FLOPs_Per_Token" sheetId="3" r:id="rId3"/>
    <sheet name="Memory_Breakdown" sheetId="4" r:id="rId4"/>
    <sheet name="Distributed_Training" sheetId="5" r:id="rId5"/>
    <sheet name="Budget_Compliance" sheetId="6" r:id="rId6"/>
    <sheet name="Training_Cost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3" l="1"/>
  <c r="E4" i="3"/>
  <c r="E3" i="3"/>
  <c r="E2" i="3"/>
  <c r="D5" i="3"/>
  <c r="D4" i="3"/>
  <c r="D3" i="3"/>
  <c r="D2" i="3"/>
  <c r="F2" i="3" l="1"/>
  <c r="G2" i="3" s="1"/>
  <c r="B2" i="7" s="1"/>
  <c r="F3" i="3"/>
  <c r="G3" i="3" s="1"/>
  <c r="B3" i="7" s="1"/>
  <c r="D3" i="7" s="1"/>
  <c r="F4" i="3"/>
  <c r="G4" i="3" s="1"/>
  <c r="B4" i="7" s="1"/>
  <c r="F5" i="3"/>
  <c r="G5" i="3" s="1"/>
  <c r="B5" i="7" s="1"/>
  <c r="D2" i="7" l="1"/>
  <c r="F2" i="7" s="1"/>
  <c r="D5" i="7"/>
  <c r="E5" i="7" s="1"/>
  <c r="D4" i="7"/>
  <c r="F4" i="7" s="1"/>
  <c r="F3" i="7"/>
  <c r="F5" i="7" l="1"/>
  <c r="E4" i="7"/>
  <c r="E2" i="7"/>
  <c r="E3" i="7"/>
</calcChain>
</file>

<file path=xl/sharedStrings.xml><?xml version="1.0" encoding="utf-8"?>
<sst xmlns="http://schemas.openxmlformats.org/spreadsheetml/2006/main" count="252" uniqueCount="166">
  <si>
    <t>Global Inputs</t>
  </si>
  <si>
    <t>Sequence length</t>
  </si>
  <si>
    <t>Batch size</t>
  </si>
  <si>
    <t>GPUs for Training Time</t>
  </si>
  <si>
    <t>Cost per GPU-hour (USD)</t>
  </si>
  <si>
    <t>GPU Effective Throughput (TFLOPs/sustained)</t>
  </si>
  <si>
    <t>GPU Type</t>
  </si>
  <si>
    <t>Effective TFLOPs</t>
  </si>
  <si>
    <t>A100-80GB</t>
  </si>
  <si>
    <t>H100-80GB</t>
  </si>
  <si>
    <t>Token Budget (editable)</t>
  </si>
  <si>
    <t>Model</t>
  </si>
  <si>
    <t>Tokens</t>
  </si>
  <si>
    <t>1B Dense</t>
  </si>
  <si>
    <t>3B MoE-8</t>
  </si>
  <si>
    <t>8B MoE-8</t>
  </si>
  <si>
    <t>70B MoE-64</t>
  </si>
  <si>
    <t>Stage</t>
  </si>
  <si>
    <t>Config Key</t>
  </si>
  <si>
    <t>Layers</t>
  </si>
  <si>
    <t>d_model</t>
  </si>
  <si>
    <t>Attention</t>
  </si>
  <si>
    <t>MoE in every layer</t>
  </si>
  <si>
    <t>FFN d_ff (per expert)</t>
  </si>
  <si>
    <t>Routed experts</t>
  </si>
  <si>
    <t>Shared experts</t>
  </si>
  <si>
    <t>Null experts</t>
  </si>
  <si>
    <t>Top-k</t>
  </si>
  <si>
    <t>rho</t>
  </si>
  <si>
    <t>Notes</t>
  </si>
  <si>
    <t>1b_dense</t>
  </si>
  <si>
    <t>gsa</t>
  </si>
  <si>
    <t>No</t>
  </si>
  <si>
    <t>Dense foundation (SwiGLU ratio).</t>
  </si>
  <si>
    <t>3B MoE-small</t>
  </si>
  <si>
    <t>3b_moe</t>
  </si>
  <si>
    <t>Yes</t>
  </si>
  <si>
    <t>duplication</t>
  </si>
  <si>
    <t>All layers MoE; fine-grained experts.</t>
  </si>
  <si>
    <t>8B MoE</t>
  </si>
  <si>
    <t>8b_moe</t>
  </si>
  <si>
    <t>Width scaled; keep expert size fixed.</t>
  </si>
  <si>
    <t>70B MoE-large</t>
  </si>
  <si>
    <t>70b_moe</t>
  </si>
  <si>
    <t>Expert explosion; dims fixed.</t>
  </si>
  <si>
    <t>Total Params (B)</t>
  </si>
  <si>
    <t>Active Params (B)</t>
  </si>
  <si>
    <t>FLOPs/Token</t>
  </si>
  <si>
    <t>Training FLOPs</t>
  </si>
  <si>
    <t>ZettaFLOPs</t>
  </si>
  <si>
    <t>Router</t>
  </si>
  <si>
    <t>top_k</t>
  </si>
  <si>
    <t>FLOPs/token/layer (GF)</t>
  </si>
  <si>
    <t>FLOPs/batch (TF)</t>
  </si>
  <si>
    <t>FLOPs/batch fwd+bwd (TF)</t>
  </si>
  <si>
    <t>-</t>
  </si>
  <si>
    <t>null_expert</t>
  </si>
  <si>
    <t>• Active Params column cleared; use script outputs for FLOPs (includes attention+FFN, fwd+bwd).</t>
  </si>
  <si>
    <t>• FLOPs/Token = 2 × Active_Params (forward pass)</t>
  </si>
  <si>
    <t>• Training FLOPs = 3 × FLOPs/Token × Tokens (forward + 2× backward)</t>
  </si>
  <si>
    <t>• Active Params = Shared + Top-K routed experts (per token)</t>
  </si>
  <si>
    <t>• 3B: 2 shared + 2 top-k = 4 experts active; 70B: 4 shared + 4 top-k = 8 experts</t>
  </si>
  <si>
    <t>Component</t>
  </si>
  <si>
    <t>Model Weights (bf16)</t>
  </si>
  <si>
    <t>2 bytes × total_params</t>
  </si>
  <si>
    <t>Gradients (bf16)</t>
  </si>
  <si>
    <t>Same as weights</t>
  </si>
  <si>
    <t>Optimizer (AdamW fp32)</t>
  </si>
  <si>
    <t>8 bytes × total_params (m+v)</t>
  </si>
  <si>
    <t>Static Subtotal</t>
  </si>
  <si>
    <t>12 GB</t>
  </si>
  <si>
    <t>36 GB</t>
  </si>
  <si>
    <t>96 GB</t>
  </si>
  <si>
    <t>840 GB</t>
  </si>
  <si>
    <t>Sum of above</t>
  </si>
  <si>
    <t>Activations (per layer)</t>
  </si>
  <si>
    <t>Attention O(S²) + FFN</t>
  </si>
  <si>
    <t>KV Cache (bf16)</t>
  </si>
  <si>
    <t>Total Train (bf16+adamw)</t>
  </si>
  <si>
    <t>Total Infer (bf16)</t>
  </si>
  <si>
    <t>Total Activations (no ckpt)</t>
  </si>
  <si>
    <t>~48 GB</t>
  </si>
  <si>
    <t>~72 GB</t>
  </si>
  <si>
    <t>~264 GB</t>
  </si>
  <si>
    <t>~1040 GB</t>
  </si>
  <si>
    <t>Per layer × num_layers</t>
  </si>
  <si>
    <t>With Checkpointing (÷3)</t>
  </si>
  <si>
    <t>~16 GB</t>
  </si>
  <si>
    <t>~24 GB</t>
  </si>
  <si>
    <t>~88 GB</t>
  </si>
  <si>
    <t>~347 GB</t>
  </si>
  <si>
    <t>~66% savings</t>
  </si>
  <si>
    <t>Buffers (~10%)</t>
  </si>
  <si>
    <t>~6 GB</t>
  </si>
  <si>
    <t>~18 GB</t>
  </si>
  <si>
    <t>~119 GB</t>
  </si>
  <si>
    <t>Temporary allocations</t>
  </si>
  <si>
    <t>TOTAL (no optimization)</t>
  </si>
  <si>
    <t>~66 GB</t>
  </si>
  <si>
    <t>~114 GB</t>
  </si>
  <si>
    <t>~378 GB</t>
  </si>
  <si>
    <t>~2000 GB</t>
  </si>
  <si>
    <t>Single GPU requirement</t>
  </si>
  <si>
    <t>TOTAL (with optimizations)</t>
  </si>
  <si>
    <t>~34 GB</t>
  </si>
  <si>
    <t>~202 GB</t>
  </si>
  <si>
    <t>~1306 GB</t>
  </si>
  <si>
    <t>Ckpt + buffers</t>
  </si>
  <si>
    <t>Min GPUs</t>
  </si>
  <si>
    <t>EP</t>
  </si>
  <si>
    <t>PP</t>
  </si>
  <si>
    <t>ZeRO</t>
  </si>
  <si>
    <t>Mem/GPU</t>
  </si>
  <si>
    <t>Total Cluster</t>
  </si>
  <si>
    <t>Status</t>
  </si>
  <si>
    <t>16 GB</t>
  </si>
  <si>
    <t>80 GB</t>
  </si>
  <si>
    <t>PASS</t>
  </si>
  <si>
    <t>47 GB</t>
  </si>
  <si>
    <t>65 GB</t>
  </si>
  <si>
    <t>320 GB</t>
  </si>
  <si>
    <t>60 GB</t>
  </si>
  <si>
    <t>2.56 TB</t>
  </si>
  <si>
    <t>DISTRIBUTED TRAINING NOTES:</t>
  </si>
  <si>
    <t>• EP = Expert Parallelism (experts split across GPUs)</t>
  </si>
  <si>
    <t>• PP = Pipeline Parallelism (layers split across GPUs)</t>
  </si>
  <si>
    <t>• ZeRO = Optimizer state sharding level (1=optimizer, 2=+grad, 3=+params)</t>
  </si>
  <si>
    <t>• DeepSeek-V3 (671B): 2048 GPUs, 16-way PP, 64-way EP, ~60GB/GPU</t>
  </si>
  <si>
    <t>Metric</t>
  </si>
  <si>
    <t>Ceiling</t>
  </si>
  <si>
    <t>Actual</t>
  </si>
  <si>
    <t>Margin</t>
  </si>
  <si>
    <t>Max FLOPs/Token</t>
  </si>
  <si>
    <t>2.4B</t>
  </si>
  <si>
    <t>0%</t>
  </si>
  <si>
    <t>Max Active Params</t>
  </si>
  <si>
    <t>1.5B</t>
  </si>
  <si>
    <t>1.2B</t>
  </si>
  <si>
    <t>20%</t>
  </si>
  <si>
    <t>Max Total Params</t>
  </si>
  <si>
    <t>4B</t>
  </si>
  <si>
    <t>3B</t>
  </si>
  <si>
    <t>25%</t>
  </si>
  <si>
    <t>6.4B</t>
  </si>
  <si>
    <t>3.2B</t>
  </si>
  <si>
    <t>10B</t>
  </si>
  <si>
    <t>8B</t>
  </si>
  <si>
    <t>24B</t>
  </si>
  <si>
    <t>15B</t>
  </si>
  <si>
    <t>12B</t>
  </si>
  <si>
    <t>80B</t>
  </si>
  <si>
    <t>70B</t>
  </si>
  <si>
    <t>12.5%</t>
  </si>
  <si>
    <t>BUDGET COMPLIANCE NOTES:</t>
  </si>
  <si>
    <t>• All models meet compute budget constraints</t>
  </si>
  <si>
    <t>• FLOPs/Token = 2 × Active_Params (forward pass only)</t>
  </si>
  <si>
    <t>• Active params determined by: shared_experts + top_k_routed</t>
  </si>
  <si>
    <t>• Margin allows headroom for future scaling</t>
  </si>
  <si>
    <t>GPU Hours</t>
  </si>
  <si>
    <t>Cost @ $2/hr</t>
  </si>
  <si>
    <t>Training Time (64 GPU)</t>
  </si>
  <si>
    <t>REFERENCE: DeepSeek-V3 (671B)</t>
  </si>
  <si>
    <t>• 2.788M H800 GPU hours</t>
  </si>
  <si>
    <t>• ~$5.5M at $2/GPU-hr</t>
  </si>
  <si>
    <t>• 2048 GPUs, ~2 months training</t>
  </si>
  <si>
    <t>• Our 70B is ~20× smaller → proportionally less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</si>
</sst>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&quot;$&quot;#,##0"/>
    <numFmt numFmtId="166" formatCode="0.0&quot; days&quot;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BDD7EE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0" fontId="2" fillId="0" borderId="1" xfId="0" applyFont="1" applyBorder="1"/>
    <xf numFmtId="0" fontId="4" fillId="0" borderId="0" xfId="0" applyFont="1"/>
    <xf numFmtId="0" fontId="0" fillId="3" borderId="1" xfId="0" applyFill="1" applyBorder="1"/>
    <xf numFmtId="0" fontId="4" fillId="0" borderId="1" xfId="0" applyFont="1" applyBorder="1"/>
    <xf numFmtId="0" fontId="0" fillId="4" borderId="1" xfId="0" applyFill="1" applyBorder="1"/>
    <xf numFmtId="2" fontId="0" fillId="0" borderId="1" xfId="0" applyNumberFormat="1" applyBorder="1"/>
    <xf numFmtId="2" fontId="0" fillId="0" borderId="0" xfId="0" applyNumberFormat="1"/>
    <xf numFmtId="11" fontId="3" fillId="0" borderId="1" xfId="0" applyNumberFormat="1" applyFont="1" applyBorder="1"/>
    <xf numFmtId="3" fontId="0" fillId="0" borderId="1" xfId="0" applyNumberFormat="1" applyBorder="1"/>
    <xf numFmtId="164" fontId="3" fillId="0" borderId="1" xfId="0" applyNumberFormat="1" applyFont="1" applyBorder="1"/>
    <xf numFmtId="164" fontId="0" fillId="0" borderId="1" xfId="0" applyNumberFormat="1" applyBorder="1"/>
    <xf numFmtId="165" fontId="0" fillId="0" borderId="1" xfId="0" applyNumberFormat="1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pane ySplit="2" topLeftCell="A3" activePane="bottomLeft" state="frozen"/>
      <selection pane="bottomLeft" activeCell="A10" sqref="A10"/>
    </sheetView>
  </sheetViews>
  <sheetFormatPr baseColWidth="10" defaultColWidth="8.83203125" defaultRowHeight="15" x14ac:dyDescent="0.2"/>
  <cols>
    <col min="1" max="1" width="38" customWidth="1"/>
    <col min="2" max="2" width="22" customWidth="1"/>
  </cols>
  <sheetData>
    <row r="1" spans="1:2" x14ac:dyDescent="0.2">
      <c r="A1" t="s">
        <v>0</v>
      </c>
    </row>
    <row r="3" spans="1:2" x14ac:dyDescent="0.2">
      <c r="A3" t="s">
        <v>1</v>
      </c>
      <c r="B3">
        <v>2048</v>
      </c>
    </row>
    <row r="4" spans="1:2" x14ac:dyDescent="0.2">
      <c r="A4" t="s">
        <v>2</v>
      </c>
      <c r="B4">
        <v>1</v>
      </c>
    </row>
    <row r="5" spans="1:2" x14ac:dyDescent="0.2">
      <c r="A5" t="s">
        <v>3</v>
      </c>
      <c r="B5">
        <v>64</v>
      </c>
    </row>
    <row r="6" spans="1:2" x14ac:dyDescent="0.2">
      <c r="A6" t="s">
        <v>4</v>
      </c>
      <c r="B6">
        <v>2</v>
      </c>
    </row>
    <row r="8" spans="1:2" x14ac:dyDescent="0.2">
      <c r="A8" t="s">
        <v>5</v>
      </c>
    </row>
    <row r="9" spans="1:2" x14ac:dyDescent="0.2">
      <c r="A9" t="s">
        <v>6</v>
      </c>
      <c r="B9" t="s">
        <v>7</v>
      </c>
    </row>
    <row r="10" spans="1:2" x14ac:dyDescent="0.2">
      <c r="A10" t="s">
        <v>8</v>
      </c>
      <c r="B10">
        <v>100</v>
      </c>
    </row>
    <row r="11" spans="1:2" x14ac:dyDescent="0.2">
      <c r="A11" t="s">
        <v>9</v>
      </c>
      <c r="B11">
        <v>300</v>
      </c>
    </row>
    <row r="13" spans="1:2" x14ac:dyDescent="0.2">
      <c r="A13" t="s">
        <v>10</v>
      </c>
    </row>
    <row r="14" spans="1:2" x14ac:dyDescent="0.2">
      <c r="A14" t="s">
        <v>11</v>
      </c>
      <c r="B14" t="s">
        <v>12</v>
      </c>
    </row>
    <row r="15" spans="1:2" x14ac:dyDescent="0.2">
      <c r="A15" t="s">
        <v>13</v>
      </c>
      <c r="B15">
        <v>10000000000</v>
      </c>
    </row>
    <row r="16" spans="1:2" x14ac:dyDescent="0.2">
      <c r="A16" t="s">
        <v>14</v>
      </c>
      <c r="B16">
        <v>50000000000</v>
      </c>
    </row>
    <row r="17" spans="1:2" x14ac:dyDescent="0.2">
      <c r="A17" t="s">
        <v>15</v>
      </c>
      <c r="B17">
        <v>100000000000</v>
      </c>
    </row>
    <row r="18" spans="1:2" x14ac:dyDescent="0.2">
      <c r="A18" t="s">
        <v>16</v>
      </c>
      <c r="B18">
        <v>400000000000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5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5" width="12" customWidth="1"/>
    <col min="6" max="6" width="20" customWidth="1"/>
    <col min="7" max="7" width="23" customWidth="1"/>
    <col min="8" max="9" width="16" customWidth="1"/>
    <col min="10" max="10" width="14" customWidth="1"/>
    <col min="11" max="13" width="12" customWidth="1"/>
  </cols>
  <sheetData>
    <row r="1" spans="1:13" x14ac:dyDescent="0.2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</row>
    <row r="2" spans="1:13" x14ac:dyDescent="0.2">
      <c r="A2" t="s">
        <v>13</v>
      </c>
      <c r="B2" t="s">
        <v>30</v>
      </c>
      <c r="C2">
        <v>24</v>
      </c>
      <c r="D2">
        <v>2048</v>
      </c>
      <c r="E2" t="s">
        <v>31</v>
      </c>
      <c r="F2" t="s">
        <v>32</v>
      </c>
      <c r="G2">
        <v>5504</v>
      </c>
      <c r="M2" t="s">
        <v>33</v>
      </c>
    </row>
    <row r="3" spans="1:13" x14ac:dyDescent="0.2">
      <c r="A3" t="s">
        <v>34</v>
      </c>
      <c r="B3" t="s">
        <v>35</v>
      </c>
      <c r="C3">
        <v>24</v>
      </c>
      <c r="D3">
        <v>2048</v>
      </c>
      <c r="E3" t="s">
        <v>31</v>
      </c>
      <c r="F3" t="s">
        <v>36</v>
      </c>
      <c r="G3">
        <v>2048</v>
      </c>
      <c r="H3">
        <v>8</v>
      </c>
      <c r="I3">
        <v>2</v>
      </c>
      <c r="J3" t="s">
        <v>37</v>
      </c>
      <c r="K3">
        <v>2</v>
      </c>
      <c r="L3">
        <v>0.8</v>
      </c>
      <c r="M3" t="s">
        <v>38</v>
      </c>
    </row>
    <row r="4" spans="1:13" x14ac:dyDescent="0.2">
      <c r="A4" t="s">
        <v>39</v>
      </c>
      <c r="B4" t="s">
        <v>40</v>
      </c>
      <c r="C4">
        <v>24</v>
      </c>
      <c r="D4">
        <v>4096</v>
      </c>
      <c r="E4" t="s">
        <v>31</v>
      </c>
      <c r="F4" t="s">
        <v>36</v>
      </c>
      <c r="G4">
        <v>2048</v>
      </c>
      <c r="H4">
        <v>8</v>
      </c>
      <c r="I4">
        <v>2</v>
      </c>
      <c r="J4" t="s">
        <v>37</v>
      </c>
      <c r="K4">
        <v>2</v>
      </c>
      <c r="L4">
        <v>0.8</v>
      </c>
      <c r="M4" t="s">
        <v>41</v>
      </c>
    </row>
    <row r="5" spans="1:13" x14ac:dyDescent="0.2">
      <c r="A5" t="s">
        <v>42</v>
      </c>
      <c r="B5" t="s">
        <v>43</v>
      </c>
      <c r="C5">
        <v>40</v>
      </c>
      <c r="D5">
        <v>4096</v>
      </c>
      <c r="E5" t="s">
        <v>31</v>
      </c>
      <c r="F5" t="s">
        <v>36</v>
      </c>
      <c r="G5">
        <v>2048</v>
      </c>
      <c r="H5">
        <v>64</v>
      </c>
      <c r="I5">
        <v>4</v>
      </c>
      <c r="J5" t="s">
        <v>37</v>
      </c>
      <c r="K5">
        <v>4</v>
      </c>
      <c r="L5">
        <v>0.8</v>
      </c>
      <c r="M5" t="s">
        <v>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"/>
  <sheetViews>
    <sheetView workbookViewId="0">
      <pane ySplit="1" topLeftCell="A2" activePane="bottomLeft" state="frozen"/>
      <selection pane="bottomLeft" activeCell="G3" sqref="G3"/>
    </sheetView>
  </sheetViews>
  <sheetFormatPr baseColWidth="10" defaultColWidth="8.83203125" defaultRowHeight="15" x14ac:dyDescent="0.2"/>
  <cols>
    <col min="1" max="1" width="15" customWidth="1"/>
    <col min="2" max="3" width="18" customWidth="1"/>
    <col min="4" max="4" width="15" customWidth="1"/>
    <col min="5" max="5" width="15.6640625" bestFit="1" customWidth="1"/>
    <col min="6" max="6" width="18" customWidth="1"/>
    <col min="7" max="7" width="12" customWidth="1"/>
  </cols>
  <sheetData>
    <row r="1" spans="1:14" x14ac:dyDescent="0.2">
      <c r="A1" s="1" t="s">
        <v>11</v>
      </c>
      <c r="B1" s="1" t="s">
        <v>45</v>
      </c>
      <c r="C1" s="1" t="s">
        <v>46</v>
      </c>
      <c r="D1" s="1" t="s">
        <v>47</v>
      </c>
      <c r="E1" s="1" t="s">
        <v>12</v>
      </c>
      <c r="F1" s="1" t="s">
        <v>48</v>
      </c>
      <c r="G1" s="1" t="s">
        <v>49</v>
      </c>
      <c r="H1" t="s">
        <v>21</v>
      </c>
      <c r="I1" t="s">
        <v>50</v>
      </c>
      <c r="J1" t="s">
        <v>51</v>
      </c>
      <c r="K1" t="s">
        <v>28</v>
      </c>
      <c r="L1" t="s">
        <v>52</v>
      </c>
      <c r="M1" t="s">
        <v>53</v>
      </c>
      <c r="N1" t="s">
        <v>54</v>
      </c>
    </row>
    <row r="2" spans="1:14" x14ac:dyDescent="0.2">
      <c r="A2" s="2" t="s">
        <v>13</v>
      </c>
      <c r="B2" s="3">
        <v>0.84</v>
      </c>
      <c r="C2" s="3"/>
      <c r="D2" s="10">
        <f>(N2*1000000000000)/(Inputs!$B$3*Inputs!$B$4)</f>
        <v>930532226562.5</v>
      </c>
      <c r="E2" s="11">
        <f>_xlfn.XLOOKUP(A2,Inputs!$A$15:$A$18,Inputs!$B$15:$B$18)</f>
        <v>10000000000</v>
      </c>
      <c r="F2" s="10">
        <f>D2*E2</f>
        <v>9.3053222656249996E+21</v>
      </c>
      <c r="G2" s="12">
        <f>F2/1E+21</f>
        <v>9.3053222656249996</v>
      </c>
      <c r="H2" t="s">
        <v>31</v>
      </c>
      <c r="I2" t="s">
        <v>55</v>
      </c>
      <c r="J2" t="s">
        <v>55</v>
      </c>
      <c r="K2" t="s">
        <v>55</v>
      </c>
      <c r="L2">
        <v>19.385999999999999</v>
      </c>
      <c r="M2">
        <v>952.86500000000001</v>
      </c>
      <c r="N2">
        <v>1905.73</v>
      </c>
    </row>
    <row r="3" spans="1:14" x14ac:dyDescent="0.2">
      <c r="A3" s="2" t="s">
        <v>14</v>
      </c>
      <c r="B3" s="3">
        <v>1.52</v>
      </c>
      <c r="C3" s="3"/>
      <c r="D3" s="10">
        <f>(N3*1000000000000)/(Inputs!$B$3*Inputs!$B$4)</f>
        <v>933672851562.5</v>
      </c>
      <c r="E3" s="11">
        <f>_xlfn.XLOOKUP(A3,Inputs!$A$15:$A$18,Inputs!$B$15:$B$18)</f>
        <v>50000000000</v>
      </c>
      <c r="F3" s="10">
        <f>D3*E3</f>
        <v>4.6683642578124998E+22</v>
      </c>
      <c r="G3" s="12">
        <f>F3/1E+21</f>
        <v>46.683642578124996</v>
      </c>
      <c r="H3" t="s">
        <v>31</v>
      </c>
      <c r="I3" t="s">
        <v>56</v>
      </c>
      <c r="J3">
        <v>2</v>
      </c>
      <c r="K3">
        <v>0.8</v>
      </c>
      <c r="L3">
        <v>19.452000000000002</v>
      </c>
      <c r="M3">
        <v>956.08100000000002</v>
      </c>
      <c r="N3">
        <v>1912.162</v>
      </c>
    </row>
    <row r="4" spans="1:14" x14ac:dyDescent="0.2">
      <c r="A4" s="2" t="s">
        <v>15</v>
      </c>
      <c r="B4" s="3">
        <v>13.72</v>
      </c>
      <c r="C4" s="3"/>
      <c r="D4" s="10">
        <f>(N4*1000000000000)/(Inputs!$B$3*Inputs!$B$4)</f>
        <v>2945477539062.5</v>
      </c>
      <c r="E4" s="11">
        <f>_xlfn.XLOOKUP(A4,Inputs!$A$15:$A$18,Inputs!$B$15:$B$18)</f>
        <v>100000000000</v>
      </c>
      <c r="F4" s="10">
        <f>D4*E4</f>
        <v>2.9454775390625001E+23</v>
      </c>
      <c r="G4" s="12">
        <f>F4/1E+21</f>
        <v>294.54775390625002</v>
      </c>
      <c r="H4" t="s">
        <v>31</v>
      </c>
      <c r="I4" t="s">
        <v>56</v>
      </c>
      <c r="J4">
        <v>2</v>
      </c>
      <c r="K4">
        <v>0.8</v>
      </c>
      <c r="L4">
        <v>36.817999999999998</v>
      </c>
      <c r="M4">
        <v>3016.1689999999999</v>
      </c>
      <c r="N4">
        <v>6032.3379999999997</v>
      </c>
    </row>
    <row r="5" spans="1:14" x14ac:dyDescent="0.2">
      <c r="A5" s="2" t="s">
        <v>16</v>
      </c>
      <c r="B5" s="3">
        <v>71.33</v>
      </c>
      <c r="C5" s="3"/>
      <c r="D5" s="10">
        <f>(N5*1000000000000)/(Inputs!$B$3*Inputs!$B$4)</f>
        <v>2959973144531.25</v>
      </c>
      <c r="E5" s="11">
        <f>_xlfn.XLOOKUP(A5,Inputs!$A$15:$A$18,Inputs!$B$15:$B$18)</f>
        <v>400000000000</v>
      </c>
      <c r="F5" s="10">
        <f>D5*E5</f>
        <v>1.1839892578124999E+24</v>
      </c>
      <c r="G5" s="12">
        <f>F5/1E+21</f>
        <v>1183.9892578125</v>
      </c>
      <c r="H5" t="s">
        <v>31</v>
      </c>
      <c r="I5" t="s">
        <v>56</v>
      </c>
      <c r="J5">
        <v>4</v>
      </c>
      <c r="K5">
        <v>0.8</v>
      </c>
      <c r="L5">
        <v>37</v>
      </c>
      <c r="M5">
        <v>3031.0129999999999</v>
      </c>
      <c r="N5">
        <v>6062.0249999999996</v>
      </c>
    </row>
    <row r="7" spans="1:14" x14ac:dyDescent="0.2">
      <c r="A7" s="4" t="s">
        <v>57</v>
      </c>
    </row>
    <row r="8" spans="1:14" x14ac:dyDescent="0.2">
      <c r="A8" t="s">
        <v>58</v>
      </c>
    </row>
    <row r="9" spans="1:14" x14ac:dyDescent="0.2">
      <c r="A9" t="s">
        <v>59</v>
      </c>
    </row>
    <row r="10" spans="1:14" x14ac:dyDescent="0.2">
      <c r="A10" t="s">
        <v>60</v>
      </c>
    </row>
    <row r="11" spans="1:14" x14ac:dyDescent="0.2">
      <c r="A11" t="s">
        <v>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/>
  </sheetViews>
  <sheetFormatPr baseColWidth="10" defaultColWidth="8.83203125" defaultRowHeight="15" x14ac:dyDescent="0.2"/>
  <cols>
    <col min="1" max="6" width="22" customWidth="1"/>
  </cols>
  <sheetData>
    <row r="1" spans="1:6" x14ac:dyDescent="0.2">
      <c r="A1" s="1" t="s">
        <v>62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29</v>
      </c>
    </row>
    <row r="2" spans="1:6" x14ac:dyDescent="0.2">
      <c r="A2" s="2" t="s">
        <v>63</v>
      </c>
      <c r="B2" s="8">
        <v>1.56</v>
      </c>
      <c r="C2" s="8">
        <v>2.82</v>
      </c>
      <c r="D2" s="8">
        <v>25.55</v>
      </c>
      <c r="E2" s="8">
        <v>132.85</v>
      </c>
      <c r="F2" s="2" t="s">
        <v>64</v>
      </c>
    </row>
    <row r="3" spans="1:6" x14ac:dyDescent="0.2">
      <c r="A3" s="2" t="s">
        <v>65</v>
      </c>
      <c r="B3" s="8">
        <v>1.56</v>
      </c>
      <c r="C3" s="8">
        <v>2.82</v>
      </c>
      <c r="D3" s="8">
        <v>25.55</v>
      </c>
      <c r="E3" s="8">
        <v>132.85</v>
      </c>
      <c r="F3" s="2" t="s">
        <v>66</v>
      </c>
    </row>
    <row r="4" spans="1:6" x14ac:dyDescent="0.2">
      <c r="A4" s="2" t="s">
        <v>67</v>
      </c>
      <c r="B4" s="8">
        <v>3.11</v>
      </c>
      <c r="C4" s="8">
        <v>5.65</v>
      </c>
      <c r="D4" s="8">
        <v>51.1</v>
      </c>
      <c r="E4" s="8">
        <v>265.70999999999998</v>
      </c>
      <c r="F4" s="2" t="s">
        <v>68</v>
      </c>
    </row>
    <row r="5" spans="1:6" x14ac:dyDescent="0.2">
      <c r="A5" s="5" t="s">
        <v>69</v>
      </c>
      <c r="B5" s="5" t="s">
        <v>70</v>
      </c>
      <c r="C5" s="5" t="s">
        <v>71</v>
      </c>
      <c r="D5" s="5" t="s">
        <v>72</v>
      </c>
      <c r="E5" s="5" t="s">
        <v>73</v>
      </c>
      <c r="F5" s="5" t="s">
        <v>74</v>
      </c>
    </row>
    <row r="6" spans="1:6" x14ac:dyDescent="0.2">
      <c r="A6" s="2"/>
      <c r="B6" s="2"/>
      <c r="C6" s="2"/>
      <c r="D6" s="2"/>
      <c r="E6" s="2"/>
      <c r="F6" s="2"/>
    </row>
    <row r="7" spans="1:6" x14ac:dyDescent="0.2">
      <c r="A7" s="2" t="s">
        <v>75</v>
      </c>
      <c r="B7" s="8">
        <v>0.56000000000000005</v>
      </c>
      <c r="C7" s="8">
        <v>0.56000000000000005</v>
      </c>
      <c r="D7" s="8">
        <v>1.88</v>
      </c>
      <c r="E7" s="8">
        <v>1.88</v>
      </c>
      <c r="F7" s="2" t="s">
        <v>76</v>
      </c>
    </row>
    <row r="8" spans="1:6" x14ac:dyDescent="0.2">
      <c r="A8" t="s">
        <v>77</v>
      </c>
      <c r="B8" s="9">
        <v>0.09</v>
      </c>
      <c r="C8" s="9">
        <v>0.09</v>
      </c>
      <c r="D8" s="9">
        <v>0.31</v>
      </c>
      <c r="E8" s="9">
        <v>0.31</v>
      </c>
    </row>
    <row r="9" spans="1:6" x14ac:dyDescent="0.2">
      <c r="A9" t="s">
        <v>78</v>
      </c>
      <c r="B9" s="9">
        <v>6.79</v>
      </c>
      <c r="C9" s="9">
        <v>11.86</v>
      </c>
      <c r="D9" s="9">
        <v>104.08</v>
      </c>
      <c r="E9" s="9">
        <v>533.29</v>
      </c>
    </row>
    <row r="10" spans="1:6" x14ac:dyDescent="0.2">
      <c r="A10" t="s">
        <v>79</v>
      </c>
      <c r="B10" s="9">
        <v>1.65</v>
      </c>
      <c r="C10" s="9">
        <v>2.92</v>
      </c>
      <c r="D10" s="9">
        <v>25.86</v>
      </c>
      <c r="E10" s="9">
        <v>133.16999999999999</v>
      </c>
    </row>
    <row r="11" spans="1:6" x14ac:dyDescent="0.2">
      <c r="A11" s="2" t="s">
        <v>80</v>
      </c>
      <c r="B11" s="2" t="s">
        <v>81</v>
      </c>
      <c r="C11" s="2" t="s">
        <v>82</v>
      </c>
      <c r="D11" s="2" t="s">
        <v>83</v>
      </c>
      <c r="E11" s="2" t="s">
        <v>84</v>
      </c>
      <c r="F11" s="2" t="s">
        <v>85</v>
      </c>
    </row>
    <row r="12" spans="1:6" x14ac:dyDescent="0.2">
      <c r="A12" s="2" t="s">
        <v>86</v>
      </c>
      <c r="B12" s="2" t="s">
        <v>87</v>
      </c>
      <c r="C12" s="2" t="s">
        <v>88</v>
      </c>
      <c r="D12" s="2" t="s">
        <v>89</v>
      </c>
      <c r="E12" s="2" t="s">
        <v>90</v>
      </c>
      <c r="F12" s="2" t="s">
        <v>91</v>
      </c>
    </row>
    <row r="13" spans="1:6" x14ac:dyDescent="0.2">
      <c r="A13" s="2"/>
      <c r="B13" s="2"/>
      <c r="C13" s="2"/>
      <c r="D13" s="2"/>
      <c r="E13" s="2"/>
      <c r="F13" s="2"/>
    </row>
    <row r="14" spans="1:6" x14ac:dyDescent="0.2">
      <c r="A14" s="2" t="s">
        <v>92</v>
      </c>
      <c r="B14" s="2" t="s">
        <v>93</v>
      </c>
      <c r="C14" s="2" t="s">
        <v>93</v>
      </c>
      <c r="D14" s="2" t="s">
        <v>94</v>
      </c>
      <c r="E14" s="2" t="s">
        <v>95</v>
      </c>
      <c r="F14" s="2" t="s">
        <v>96</v>
      </c>
    </row>
    <row r="15" spans="1:6" x14ac:dyDescent="0.2">
      <c r="A15" s="5"/>
      <c r="B15" s="5"/>
      <c r="C15" s="5"/>
      <c r="D15" s="5"/>
      <c r="E15" s="5"/>
      <c r="F15" s="5"/>
    </row>
    <row r="16" spans="1:6" x14ac:dyDescent="0.2">
      <c r="A16" s="6" t="s">
        <v>97</v>
      </c>
      <c r="B16" s="6" t="s">
        <v>98</v>
      </c>
      <c r="C16" s="6" t="s">
        <v>99</v>
      </c>
      <c r="D16" s="6" t="s">
        <v>100</v>
      </c>
      <c r="E16" s="6" t="s">
        <v>101</v>
      </c>
      <c r="F16" s="6" t="s">
        <v>102</v>
      </c>
    </row>
    <row r="17" spans="1:6" x14ac:dyDescent="0.2">
      <c r="A17" s="6" t="s">
        <v>103</v>
      </c>
      <c r="B17" s="6" t="s">
        <v>104</v>
      </c>
      <c r="C17" s="6" t="s">
        <v>98</v>
      </c>
      <c r="D17" s="6" t="s">
        <v>105</v>
      </c>
      <c r="E17" s="6" t="s">
        <v>106</v>
      </c>
      <c r="F17" s="6" t="s">
        <v>107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"/>
  <sheetViews>
    <sheetView workbookViewId="0"/>
  </sheetViews>
  <sheetFormatPr baseColWidth="10" defaultColWidth="8.83203125" defaultRowHeight="15" x14ac:dyDescent="0.2"/>
  <cols>
    <col min="1" max="8" width="15" customWidth="1"/>
  </cols>
  <sheetData>
    <row r="1" spans="1:8" x14ac:dyDescent="0.2">
      <c r="A1" s="1" t="s">
        <v>11</v>
      </c>
      <c r="B1" s="1" t="s">
        <v>108</v>
      </c>
      <c r="C1" s="1" t="s">
        <v>109</v>
      </c>
      <c r="D1" s="1" t="s">
        <v>110</v>
      </c>
      <c r="E1" s="1" t="s">
        <v>111</v>
      </c>
      <c r="F1" s="1" t="s">
        <v>112</v>
      </c>
      <c r="G1" s="1" t="s">
        <v>113</v>
      </c>
      <c r="H1" s="1" t="s">
        <v>114</v>
      </c>
    </row>
    <row r="2" spans="1:8" x14ac:dyDescent="0.2">
      <c r="A2" s="2" t="s">
        <v>13</v>
      </c>
      <c r="B2" s="2">
        <v>1</v>
      </c>
      <c r="C2" s="2">
        <v>1</v>
      </c>
      <c r="D2" s="2">
        <v>1</v>
      </c>
      <c r="E2" s="2">
        <v>1</v>
      </c>
      <c r="F2" s="2" t="s">
        <v>115</v>
      </c>
      <c r="G2" s="2" t="s">
        <v>116</v>
      </c>
      <c r="H2" s="7" t="s">
        <v>117</v>
      </c>
    </row>
    <row r="3" spans="1:8" x14ac:dyDescent="0.2">
      <c r="A3" s="2" t="s">
        <v>14</v>
      </c>
      <c r="B3" s="2">
        <v>1</v>
      </c>
      <c r="C3" s="2">
        <v>1</v>
      </c>
      <c r="D3" s="2">
        <v>1</v>
      </c>
      <c r="E3" s="2">
        <v>1</v>
      </c>
      <c r="F3" s="2" t="s">
        <v>118</v>
      </c>
      <c r="G3" s="2" t="s">
        <v>116</v>
      </c>
      <c r="H3" s="7" t="s">
        <v>117</v>
      </c>
    </row>
    <row r="4" spans="1:8" x14ac:dyDescent="0.2">
      <c r="A4" s="2" t="s">
        <v>15</v>
      </c>
      <c r="B4" s="2">
        <v>4</v>
      </c>
      <c r="C4" s="2">
        <v>1</v>
      </c>
      <c r="D4" s="2">
        <v>1</v>
      </c>
      <c r="E4" s="2">
        <v>2</v>
      </c>
      <c r="F4" s="2" t="s">
        <v>119</v>
      </c>
      <c r="G4" s="2" t="s">
        <v>120</v>
      </c>
      <c r="H4" s="7" t="s">
        <v>117</v>
      </c>
    </row>
    <row r="5" spans="1:8" x14ac:dyDescent="0.2">
      <c r="A5" s="2" t="s">
        <v>16</v>
      </c>
      <c r="B5" s="2">
        <v>32</v>
      </c>
      <c r="C5" s="2">
        <v>1</v>
      </c>
      <c r="D5" s="2">
        <v>4</v>
      </c>
      <c r="E5" s="2">
        <v>3</v>
      </c>
      <c r="F5" s="2" t="s">
        <v>121</v>
      </c>
      <c r="G5" s="2" t="s">
        <v>122</v>
      </c>
      <c r="H5" s="7" t="s">
        <v>117</v>
      </c>
    </row>
    <row r="7" spans="1:8" x14ac:dyDescent="0.2">
      <c r="A7" s="4" t="s">
        <v>123</v>
      </c>
    </row>
    <row r="8" spans="1:8" x14ac:dyDescent="0.2">
      <c r="A8" t="s">
        <v>124</v>
      </c>
    </row>
    <row r="9" spans="1:8" x14ac:dyDescent="0.2">
      <c r="A9" t="s">
        <v>125</v>
      </c>
    </row>
    <row r="10" spans="1:8" x14ac:dyDescent="0.2">
      <c r="A10" t="s">
        <v>126</v>
      </c>
    </row>
    <row r="11" spans="1:8" x14ac:dyDescent="0.2">
      <c r="A11" t="s">
        <v>127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8"/>
  <sheetViews>
    <sheetView workbookViewId="0"/>
  </sheetViews>
  <sheetFormatPr baseColWidth="10" defaultColWidth="8.83203125" defaultRowHeight="15" x14ac:dyDescent="0.2"/>
  <cols>
    <col min="1" max="6" width="18" customWidth="1"/>
  </cols>
  <sheetData>
    <row r="1" spans="1:6" x14ac:dyDescent="0.2">
      <c r="A1" s="1" t="s">
        <v>11</v>
      </c>
      <c r="B1" s="1" t="s">
        <v>128</v>
      </c>
      <c r="C1" s="1" t="s">
        <v>129</v>
      </c>
      <c r="D1" s="1" t="s">
        <v>130</v>
      </c>
      <c r="E1" s="1" t="s">
        <v>131</v>
      </c>
      <c r="F1" s="1" t="s">
        <v>114</v>
      </c>
    </row>
    <row r="2" spans="1:6" x14ac:dyDescent="0.2">
      <c r="A2" s="2" t="s">
        <v>14</v>
      </c>
      <c r="B2" s="2" t="s">
        <v>132</v>
      </c>
      <c r="C2" s="2" t="s">
        <v>133</v>
      </c>
      <c r="D2" s="2" t="s">
        <v>133</v>
      </c>
      <c r="E2" s="2" t="s">
        <v>134</v>
      </c>
      <c r="F2" s="7" t="s">
        <v>117</v>
      </c>
    </row>
    <row r="3" spans="1:6" x14ac:dyDescent="0.2">
      <c r="A3" s="2" t="s">
        <v>14</v>
      </c>
      <c r="B3" s="2" t="s">
        <v>135</v>
      </c>
      <c r="C3" s="2" t="s">
        <v>136</v>
      </c>
      <c r="D3" s="2" t="s">
        <v>137</v>
      </c>
      <c r="E3" s="2" t="s">
        <v>138</v>
      </c>
      <c r="F3" s="7" t="s">
        <v>117</v>
      </c>
    </row>
    <row r="4" spans="1:6" x14ac:dyDescent="0.2">
      <c r="A4" s="2" t="s">
        <v>14</v>
      </c>
      <c r="B4" s="2" t="s">
        <v>139</v>
      </c>
      <c r="C4" s="2" t="s">
        <v>140</v>
      </c>
      <c r="D4" s="2" t="s">
        <v>141</v>
      </c>
      <c r="E4" s="2" t="s">
        <v>142</v>
      </c>
      <c r="F4" s="7" t="s">
        <v>117</v>
      </c>
    </row>
    <row r="5" spans="1:6" x14ac:dyDescent="0.2">
      <c r="A5" s="2"/>
      <c r="B5" s="2"/>
      <c r="C5" s="2"/>
      <c r="D5" s="2"/>
      <c r="E5" s="2"/>
      <c r="F5" s="2"/>
    </row>
    <row r="6" spans="1:6" x14ac:dyDescent="0.2">
      <c r="A6" s="2" t="s">
        <v>15</v>
      </c>
      <c r="B6" s="2" t="s">
        <v>132</v>
      </c>
      <c r="C6" s="2" t="s">
        <v>143</v>
      </c>
      <c r="D6" s="2" t="s">
        <v>143</v>
      </c>
      <c r="E6" s="2" t="s">
        <v>134</v>
      </c>
      <c r="F6" s="7" t="s">
        <v>117</v>
      </c>
    </row>
    <row r="7" spans="1:6" x14ac:dyDescent="0.2">
      <c r="A7" s="2" t="s">
        <v>15</v>
      </c>
      <c r="B7" s="2" t="s">
        <v>135</v>
      </c>
      <c r="C7" s="2" t="s">
        <v>140</v>
      </c>
      <c r="D7" s="2" t="s">
        <v>144</v>
      </c>
      <c r="E7" s="2" t="s">
        <v>138</v>
      </c>
      <c r="F7" s="7" t="s">
        <v>117</v>
      </c>
    </row>
    <row r="8" spans="1:6" x14ac:dyDescent="0.2">
      <c r="A8" s="2" t="s">
        <v>15</v>
      </c>
      <c r="B8" s="2" t="s">
        <v>139</v>
      </c>
      <c r="C8" s="2" t="s">
        <v>145</v>
      </c>
      <c r="D8" s="2" t="s">
        <v>146</v>
      </c>
      <c r="E8" s="2" t="s">
        <v>138</v>
      </c>
      <c r="F8" s="7" t="s">
        <v>117</v>
      </c>
    </row>
    <row r="9" spans="1:6" x14ac:dyDescent="0.2">
      <c r="A9" s="2"/>
      <c r="B9" s="2"/>
      <c r="C9" s="2"/>
      <c r="D9" s="2"/>
      <c r="E9" s="2"/>
      <c r="F9" s="2"/>
    </row>
    <row r="10" spans="1:6" x14ac:dyDescent="0.2">
      <c r="A10" s="2" t="s">
        <v>16</v>
      </c>
      <c r="B10" s="2" t="s">
        <v>132</v>
      </c>
      <c r="C10" s="2" t="s">
        <v>147</v>
      </c>
      <c r="D10" s="2" t="s">
        <v>147</v>
      </c>
      <c r="E10" s="2" t="s">
        <v>134</v>
      </c>
      <c r="F10" s="7" t="s">
        <v>117</v>
      </c>
    </row>
    <row r="11" spans="1:6" x14ac:dyDescent="0.2">
      <c r="A11" s="2" t="s">
        <v>16</v>
      </c>
      <c r="B11" s="2" t="s">
        <v>135</v>
      </c>
      <c r="C11" s="2" t="s">
        <v>148</v>
      </c>
      <c r="D11" s="2" t="s">
        <v>149</v>
      </c>
      <c r="E11" s="2" t="s">
        <v>138</v>
      </c>
      <c r="F11" s="7" t="s">
        <v>117</v>
      </c>
    </row>
    <row r="12" spans="1:6" x14ac:dyDescent="0.2">
      <c r="A12" s="2" t="s">
        <v>16</v>
      </c>
      <c r="B12" s="2" t="s">
        <v>139</v>
      </c>
      <c r="C12" s="2" t="s">
        <v>150</v>
      </c>
      <c r="D12" s="2" t="s">
        <v>151</v>
      </c>
      <c r="E12" s="2" t="s">
        <v>152</v>
      </c>
      <c r="F12" s="7" t="s">
        <v>117</v>
      </c>
    </row>
    <row r="14" spans="1:6" x14ac:dyDescent="0.2">
      <c r="A14" s="4" t="s">
        <v>153</v>
      </c>
    </row>
    <row r="15" spans="1:6" x14ac:dyDescent="0.2">
      <c r="A15" t="s">
        <v>154</v>
      </c>
    </row>
    <row r="16" spans="1:6" x14ac:dyDescent="0.2">
      <c r="A16" t="s">
        <v>155</v>
      </c>
    </row>
    <row r="17" spans="1:1" x14ac:dyDescent="0.2">
      <c r="A17" t="s">
        <v>156</v>
      </c>
    </row>
    <row r="18" spans="1:1" x14ac:dyDescent="0.2">
      <c r="A18" t="s">
        <v>157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tabSelected="1" workbookViewId="0">
      <pane ySplit="1" topLeftCell="A2" activePane="bottomLeft" state="frozen"/>
      <selection pane="bottomLeft" activeCell="E24" sqref="E24"/>
    </sheetView>
  </sheetViews>
  <sheetFormatPr baseColWidth="10" defaultColWidth="8.83203125" defaultRowHeight="15" x14ac:dyDescent="0.2"/>
  <cols>
    <col min="1" max="1" width="20" customWidth="1"/>
    <col min="2" max="2" width="39.1640625" customWidth="1"/>
    <col min="3" max="3" width="20" customWidth="1"/>
    <col min="4" max="4" width="37.5" customWidth="1"/>
    <col min="5" max="5" width="32.5" customWidth="1"/>
    <col min="6" max="6" width="41.1640625" customWidth="1"/>
  </cols>
  <sheetData>
    <row r="1" spans="1:6" x14ac:dyDescent="0.2">
      <c r="A1" s="1" t="s">
        <v>11</v>
      </c>
      <c r="B1" s="1" t="s">
        <v>49</v>
      </c>
      <c r="C1" s="1" t="s">
        <v>6</v>
      </c>
      <c r="D1" s="1" t="s">
        <v>158</v>
      </c>
      <c r="E1" s="1" t="s">
        <v>159</v>
      </c>
      <c r="F1" s="1" t="s">
        <v>160</v>
      </c>
    </row>
    <row r="2" spans="1:6" x14ac:dyDescent="0.2">
      <c r="A2" s="2" t="s">
        <v>13</v>
      </c>
      <c r="B2" s="13">
        <f>FLOPs_Per_Token!G2</f>
        <v>9.3053222656249996</v>
      </c>
      <c r="C2" s="2" t="s">
        <v>8</v>
      </c>
      <c r="D2" s="11">
        <f>(B2*1E+21)/(_xlfn.XLOOKUP(C2,Inputs!$A$10:$A$11,Inputs!$B$10:$B$11)*1000000000000)/3600</f>
        <v>25848.117404513891</v>
      </c>
      <c r="E2" s="14">
        <f>D2*Inputs!$B$6</f>
        <v>51696.234809027781</v>
      </c>
      <c r="F2" s="15">
        <f>D2/(Inputs!$B$5*24)</f>
        <v>16.828201435230397</v>
      </c>
    </row>
    <row r="3" spans="1:6" x14ac:dyDescent="0.2">
      <c r="A3" s="2" t="s">
        <v>14</v>
      </c>
      <c r="B3" s="13">
        <f>FLOPs_Per_Token!G3</f>
        <v>46.683642578124996</v>
      </c>
      <c r="C3" s="2" t="s">
        <v>8</v>
      </c>
      <c r="D3" s="11">
        <f>(B3*1E+21)/(_xlfn.XLOOKUP(C3,Inputs!$A$10:$A$11,Inputs!$B$10:$B$11)*1000000000000)/3600</f>
        <v>129676.78493923611</v>
      </c>
      <c r="E3" s="14">
        <f>D3*Inputs!$B$6</f>
        <v>259353.56987847222</v>
      </c>
      <c r="F3" s="15">
        <f>D3/(Inputs!$B$5*24)</f>
        <v>84.42499019481518</v>
      </c>
    </row>
    <row r="4" spans="1:6" x14ac:dyDescent="0.2">
      <c r="A4" s="2" t="s">
        <v>15</v>
      </c>
      <c r="B4" s="13">
        <f>FLOPs_Per_Token!G4</f>
        <v>294.54775390625002</v>
      </c>
      <c r="C4" s="2" t="s">
        <v>8</v>
      </c>
      <c r="D4" s="11">
        <f>(B4*1E+21)/(_xlfn.XLOOKUP(C4,Inputs!$A$10:$A$11,Inputs!$B$10:$B$11)*1000000000000)/3600</f>
        <v>818188.20529513888</v>
      </c>
      <c r="E4" s="14">
        <f>D4*Inputs!$B$6</f>
        <v>1636376.4105902778</v>
      </c>
      <c r="F4" s="15">
        <f>D4/(Inputs!$B$5*24)</f>
        <v>532.67461282235604</v>
      </c>
    </row>
    <row r="5" spans="1:6" x14ac:dyDescent="0.2">
      <c r="A5" s="2" t="s">
        <v>16</v>
      </c>
      <c r="B5" s="13">
        <f>FLOPs_Per_Token!G5</f>
        <v>1183.9892578125</v>
      </c>
      <c r="C5" s="2" t="s">
        <v>9</v>
      </c>
      <c r="D5" s="11">
        <f>(B5*1E+21)/(_xlfn.XLOOKUP(C5,Inputs!$A$10:$A$11,Inputs!$B$10:$B$11)*1000000000000)/3600</f>
        <v>1096286.349826389</v>
      </c>
      <c r="E5" s="14">
        <f>D5*Inputs!$B$6</f>
        <v>2192572.699652778</v>
      </c>
      <c r="F5" s="15">
        <f>D5/(Inputs!$B$5*24)</f>
        <v>713.72809233488863</v>
      </c>
    </row>
    <row r="7" spans="1:6" x14ac:dyDescent="0.2">
      <c r="A7" s="4" t="s">
        <v>161</v>
      </c>
    </row>
    <row r="8" spans="1:6" x14ac:dyDescent="0.2">
      <c r="A8" t="s">
        <v>162</v>
      </c>
    </row>
    <row r="9" spans="1:6" x14ac:dyDescent="0.2">
      <c r="A9" t="s">
        <v>163</v>
      </c>
    </row>
    <row r="10" spans="1:6" x14ac:dyDescent="0.2">
      <c r="A10" t="s">
        <v>164</v>
      </c>
    </row>
    <row r="11" spans="1:6" x14ac:dyDescent="0.2">
      <c r="A11" t="s">
        <v>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Model_Configs</vt:lpstr>
      <vt:lpstr>FLOPs_Per_Token</vt:lpstr>
      <vt:lpstr>Memory_Breakdown</vt:lpstr>
      <vt:lpstr>Distributed_Training</vt:lpstr>
      <vt:lpstr>Budget_Compliance</vt:lpstr>
      <vt:lpstr>Training_Cost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Prateek Mohan Garg</cp:lastModifiedBy>
  <dcterms:created xsi:type="dcterms:W3CDTF">2026-01-29T15:26:55Z</dcterms:created>
  <dcterms:modified xsi:type="dcterms:W3CDTF">2026-01-30T18:06:20Z</dcterms:modified>
</cp:coreProperties>
</file>