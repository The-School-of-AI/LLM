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Ps_Per_Token" sheetId="1" state="visible" r:id="rId1"/>
    <sheet xmlns:r="http://schemas.openxmlformats.org/officeDocument/2006/relationships" name="Memory_Breakdown" sheetId="2" state="visible" r:id="rId2"/>
    <sheet xmlns:r="http://schemas.openxmlformats.org/officeDocument/2006/relationships" name="Distributed_Training" sheetId="3" state="visible" r:id="rId3"/>
    <sheet xmlns:r="http://schemas.openxmlformats.org/officeDocument/2006/relationships" name="Budget_Compliance" sheetId="4" state="visible" r:id="rId4"/>
    <sheet xmlns:r="http://schemas.openxmlformats.org/officeDocument/2006/relationships" name="Training_C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4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5" customWidth="1" min="5" max="5"/>
    <col width="18" customWidth="1" min="6" max="6"/>
    <col width="12" customWidth="1" min="7" max="7"/>
  </cols>
  <sheetData>
    <row r="1">
      <c r="A1" s="1" t="inlineStr">
        <is>
          <t>Model</t>
        </is>
      </c>
      <c r="B1" s="1" t="inlineStr">
        <is>
          <t>Total Params (B)</t>
        </is>
      </c>
      <c r="C1" s="1" t="inlineStr">
        <is>
          <t>Active Params (B)</t>
        </is>
      </c>
      <c r="D1" s="1" t="inlineStr">
        <is>
          <t>FLOPs/Token</t>
        </is>
      </c>
      <c r="E1" s="1" t="inlineStr">
        <is>
          <t>Tokens</t>
        </is>
      </c>
      <c r="F1" s="1" t="inlineStr">
        <is>
          <t>Training FLOPs</t>
        </is>
      </c>
      <c r="G1" s="1" t="inlineStr">
        <is>
          <t>ZettaFLOPs</t>
        </is>
      </c>
    </row>
    <row r="2">
      <c r="A2" s="2" t="inlineStr">
        <is>
          <t>1B Dense</t>
        </is>
      </c>
      <c r="B2" s="3" t="n">
        <v>1</v>
      </c>
      <c r="C2" s="3" t="n">
        <v>1</v>
      </c>
      <c r="D2" s="4">
        <f>C2*2*1e9</f>
        <v/>
      </c>
      <c r="E2" s="2" t="n">
        <v>100000000000</v>
      </c>
      <c r="F2" s="4">
        <f>D2*E2*3</f>
        <v/>
      </c>
      <c r="G2" s="4">
        <f>F2/1e21</f>
        <v/>
      </c>
    </row>
    <row r="3">
      <c r="A3" s="2" t="inlineStr">
        <is>
          <t>3B MoE-8</t>
        </is>
      </c>
      <c r="B3" s="3" t="n">
        <v>3</v>
      </c>
      <c r="C3" s="3" t="n">
        <v>1.2</v>
      </c>
      <c r="D3" s="4">
        <f>C3*2*1e9</f>
        <v/>
      </c>
      <c r="E3" s="2" t="n">
        <v>500000000000</v>
      </c>
      <c r="F3" s="4">
        <f>D3*E3*3</f>
        <v/>
      </c>
      <c r="G3" s="4">
        <f>F3/1e21</f>
        <v/>
      </c>
    </row>
    <row r="4">
      <c r="A4" s="2" t="inlineStr">
        <is>
          <t>8B MoE-8</t>
        </is>
      </c>
      <c r="B4" s="3" t="n">
        <v>8</v>
      </c>
      <c r="C4" s="3" t="n">
        <v>3.2</v>
      </c>
      <c r="D4" s="4">
        <f>C4*2*1e9</f>
        <v/>
      </c>
      <c r="E4" s="2" t="n">
        <v>1000000000000</v>
      </c>
      <c r="F4" s="4">
        <f>D4*E4*3</f>
        <v/>
      </c>
      <c r="G4" s="4">
        <f>F4/1e21</f>
        <v/>
      </c>
    </row>
    <row r="5">
      <c r="A5" s="2" t="inlineStr">
        <is>
          <t>70B MoE-64</t>
        </is>
      </c>
      <c r="B5" s="3" t="n">
        <v>70</v>
      </c>
      <c r="C5" s="3" t="n">
        <v>12</v>
      </c>
      <c r="D5" s="4">
        <f>C5*2*1e9</f>
        <v/>
      </c>
      <c r="E5" s="2" t="n">
        <v>2000000000000</v>
      </c>
      <c r="F5" s="4">
        <f>D5*E5*3</f>
        <v/>
      </c>
      <c r="G5" s="4">
        <f>F5/1e21</f>
        <v/>
      </c>
    </row>
    <row r="7">
      <c r="A7" s="5" t="inlineStr">
        <is>
          <t>NOTES:</t>
        </is>
      </c>
    </row>
    <row r="8">
      <c r="A8" t="inlineStr">
        <is>
          <t>• FLOPs/Token = 2 × Active_Params (forward pass)</t>
        </is>
      </c>
    </row>
    <row r="9">
      <c r="A9" t="inlineStr">
        <is>
          <t>• Training FLOPs = 3 × FLOPs/Token × Tokens (forward + 2× backward)</t>
        </is>
      </c>
    </row>
    <row r="10">
      <c r="A10" t="inlineStr">
        <is>
          <t>• Active Params = Shared + Top-K routed experts (per token)</t>
        </is>
      </c>
    </row>
    <row r="11">
      <c r="A11" t="inlineStr">
        <is>
          <t>• 3B: 2 shared + 2 top-k = 4 experts active; 70B: 4 shared + 4 top-k = 8 experts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Component</t>
        </is>
      </c>
      <c r="B1" s="1" t="inlineStr">
        <is>
          <t>1B Dense</t>
        </is>
      </c>
      <c r="C1" s="1" t="inlineStr">
        <is>
          <t>3B MoE-8</t>
        </is>
      </c>
      <c r="D1" s="1" t="inlineStr">
        <is>
          <t>8B MoE-8</t>
        </is>
      </c>
      <c r="E1" s="1" t="inlineStr">
        <is>
          <t>70B MoE-64</t>
        </is>
      </c>
      <c r="F1" s="1" t="inlineStr">
        <is>
          <t>Notes</t>
        </is>
      </c>
    </row>
    <row r="2">
      <c r="A2" s="2" t="inlineStr">
        <is>
          <t>Model Weights (bf16)</t>
        </is>
      </c>
      <c r="B2" s="2" t="inlineStr">
        <is>
          <t>2 GB</t>
        </is>
      </c>
      <c r="C2" s="2" t="inlineStr">
        <is>
          <t>6 GB</t>
        </is>
      </c>
      <c r="D2" s="2" t="inlineStr">
        <is>
          <t>16 GB</t>
        </is>
      </c>
      <c r="E2" s="2" t="inlineStr">
        <is>
          <t>140 GB</t>
        </is>
      </c>
      <c r="F2" s="2" t="inlineStr">
        <is>
          <t>2 bytes × total_params</t>
        </is>
      </c>
    </row>
    <row r="3">
      <c r="A3" s="2" t="inlineStr">
        <is>
          <t>Gradients (bf16)</t>
        </is>
      </c>
      <c r="B3" s="2" t="inlineStr">
        <is>
          <t>2 GB</t>
        </is>
      </c>
      <c r="C3" s="2" t="inlineStr">
        <is>
          <t>6 GB</t>
        </is>
      </c>
      <c r="D3" s="2" t="inlineStr">
        <is>
          <t>16 GB</t>
        </is>
      </c>
      <c r="E3" s="2" t="inlineStr">
        <is>
          <t>140 GB</t>
        </is>
      </c>
      <c r="F3" s="2" t="inlineStr">
        <is>
          <t>Same as weights</t>
        </is>
      </c>
    </row>
    <row r="4">
      <c r="A4" s="2" t="inlineStr">
        <is>
          <t>Optimizer (AdamW fp32)</t>
        </is>
      </c>
      <c r="B4" s="2" t="inlineStr">
        <is>
          <t>8 GB</t>
        </is>
      </c>
      <c r="C4" s="2" t="inlineStr">
        <is>
          <t>24 GB</t>
        </is>
      </c>
      <c r="D4" s="2" t="inlineStr">
        <is>
          <t>64 GB</t>
        </is>
      </c>
      <c r="E4" s="2" t="inlineStr">
        <is>
          <t>560 GB</t>
        </is>
      </c>
      <c r="F4" s="2" t="inlineStr">
        <is>
          <t>8 bytes × total_params (m+v)</t>
        </is>
      </c>
    </row>
    <row r="5">
      <c r="A5" s="6" t="inlineStr">
        <is>
          <t>Static Subtotal</t>
        </is>
      </c>
      <c r="B5" s="6" t="inlineStr">
        <is>
          <t>12 GB</t>
        </is>
      </c>
      <c r="C5" s="6" t="inlineStr">
        <is>
          <t>36 GB</t>
        </is>
      </c>
      <c r="D5" s="6" t="inlineStr">
        <is>
          <t>96 GB</t>
        </is>
      </c>
      <c r="E5" s="6" t="inlineStr">
        <is>
          <t>840 GB</t>
        </is>
      </c>
      <c r="F5" s="6" t="inlineStr">
        <is>
          <t>Sum of above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Activations (per layer)</t>
        </is>
      </c>
      <c r="B7" s="2" t="inlineStr">
        <is>
          <t>~2 GB</t>
        </is>
      </c>
      <c r="C7" s="2" t="inlineStr">
        <is>
          <t>~3 GB</t>
        </is>
      </c>
      <c r="D7" s="2" t="inlineStr">
        <is>
          <t>~5.5 GB</t>
        </is>
      </c>
      <c r="E7" s="2" t="inlineStr">
        <is>
          <t>~13 GB</t>
        </is>
      </c>
      <c r="F7" s="2" t="inlineStr">
        <is>
          <t>Attention O(S²) + FFN</t>
        </is>
      </c>
    </row>
    <row r="8">
      <c r="A8" s="2" t="inlineStr">
        <is>
          <t>Total Activations (no ckpt)</t>
        </is>
      </c>
      <c r="B8" s="2" t="inlineStr">
        <is>
          <t>~48 GB</t>
        </is>
      </c>
      <c r="C8" s="2" t="inlineStr">
        <is>
          <t>~72 GB</t>
        </is>
      </c>
      <c r="D8" s="2" t="inlineStr">
        <is>
          <t>~264 GB</t>
        </is>
      </c>
      <c r="E8" s="2" t="inlineStr">
        <is>
          <t>~1040 GB</t>
        </is>
      </c>
      <c r="F8" s="2" t="inlineStr">
        <is>
          <t>Per layer × num_layers</t>
        </is>
      </c>
    </row>
    <row r="9">
      <c r="A9" s="2" t="inlineStr">
        <is>
          <t>With Checkpointing (÷3)</t>
        </is>
      </c>
      <c r="B9" s="2" t="inlineStr">
        <is>
          <t>~16 GB</t>
        </is>
      </c>
      <c r="C9" s="2" t="inlineStr">
        <is>
          <t>~24 GB</t>
        </is>
      </c>
      <c r="D9" s="2" t="inlineStr">
        <is>
          <t>~88 GB</t>
        </is>
      </c>
      <c r="E9" s="2" t="inlineStr">
        <is>
          <t>~347 GB</t>
        </is>
      </c>
      <c r="F9" s="2" t="inlineStr">
        <is>
          <t>~66% savings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Buffers (~10%)</t>
        </is>
      </c>
      <c r="B11" s="2" t="inlineStr">
        <is>
          <t>~6 GB</t>
        </is>
      </c>
      <c r="C11" s="2" t="inlineStr">
        <is>
          <t>~6 GB</t>
        </is>
      </c>
      <c r="D11" s="2" t="inlineStr">
        <is>
          <t>~18 GB</t>
        </is>
      </c>
      <c r="E11" s="2" t="inlineStr">
        <is>
          <t>~119 GB</t>
        </is>
      </c>
      <c r="F11" s="2" t="inlineStr">
        <is>
          <t>Temporary allocations</t>
        </is>
      </c>
    </row>
    <row r="12">
      <c r="A12" s="6" t="inlineStr"/>
      <c r="B12" s="6" t="inlineStr"/>
      <c r="C12" s="6" t="inlineStr"/>
      <c r="D12" s="6" t="inlineStr"/>
      <c r="E12" s="6" t="inlineStr"/>
      <c r="F12" s="6" t="inlineStr"/>
    </row>
    <row r="13">
      <c r="A13" s="7" t="inlineStr">
        <is>
          <t>TOTAL (no optimization)</t>
        </is>
      </c>
      <c r="B13" s="7" t="inlineStr">
        <is>
          <t>~66 GB</t>
        </is>
      </c>
      <c r="C13" s="7" t="inlineStr">
        <is>
          <t>~114 GB</t>
        </is>
      </c>
      <c r="D13" s="7" t="inlineStr">
        <is>
          <t>~378 GB</t>
        </is>
      </c>
      <c r="E13" s="7" t="inlineStr">
        <is>
          <t>~2000 GB</t>
        </is>
      </c>
      <c r="F13" s="7" t="inlineStr">
        <is>
          <t>Single GPU requirement</t>
        </is>
      </c>
    </row>
    <row r="14">
      <c r="A14" s="7" t="inlineStr">
        <is>
          <t>TOTAL (with optimizations)</t>
        </is>
      </c>
      <c r="B14" s="7" t="inlineStr">
        <is>
          <t>~34 GB</t>
        </is>
      </c>
      <c r="C14" s="7" t="inlineStr">
        <is>
          <t>~66 GB</t>
        </is>
      </c>
      <c r="D14" s="7" t="inlineStr">
        <is>
          <t>~202 GB</t>
        </is>
      </c>
      <c r="E14" s="7" t="inlineStr">
        <is>
          <t>~1306 GB</t>
        </is>
      </c>
      <c r="F14" s="7" t="inlineStr">
        <is>
          <t>Ckpt + buffers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Min GPUs</t>
        </is>
      </c>
      <c r="C1" s="1" t="inlineStr">
        <is>
          <t>EP</t>
        </is>
      </c>
      <c r="D1" s="1" t="inlineStr">
        <is>
          <t>PP</t>
        </is>
      </c>
      <c r="E1" s="1" t="inlineStr">
        <is>
          <t>ZeRO</t>
        </is>
      </c>
      <c r="F1" s="1" t="inlineStr">
        <is>
          <t>Mem/GPU</t>
        </is>
      </c>
      <c r="G1" s="1" t="inlineStr">
        <is>
          <t>Total Cluster</t>
        </is>
      </c>
      <c r="H1" s="1" t="inlineStr">
        <is>
          <t>Status</t>
        </is>
      </c>
    </row>
    <row r="2">
      <c r="A2" s="2" t="inlineStr">
        <is>
          <t>1B Dense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inlineStr">
        <is>
          <t>16 GB</t>
        </is>
      </c>
      <c r="G2" s="2" t="inlineStr">
        <is>
          <t>80 GB</t>
        </is>
      </c>
      <c r="H2" s="8" t="inlineStr">
        <is>
          <t>PASS</t>
        </is>
      </c>
    </row>
    <row r="3">
      <c r="A3" s="2" t="inlineStr">
        <is>
          <t>3B MoE-8</t>
        </is>
      </c>
      <c r="B3" s="2" t="n">
        <v>1</v>
      </c>
      <c r="C3" s="2" t="n">
        <v>1</v>
      </c>
      <c r="D3" s="2" t="n">
        <v>1</v>
      </c>
      <c r="E3" s="2" t="n">
        <v>1</v>
      </c>
      <c r="F3" s="2" t="inlineStr">
        <is>
          <t>47 GB</t>
        </is>
      </c>
      <c r="G3" s="2" t="inlineStr">
        <is>
          <t>80 GB</t>
        </is>
      </c>
      <c r="H3" s="8" t="inlineStr">
        <is>
          <t>PASS</t>
        </is>
      </c>
    </row>
    <row r="4">
      <c r="A4" s="2" t="inlineStr">
        <is>
          <t>8B MoE-8</t>
        </is>
      </c>
      <c r="B4" s="2" t="n">
        <v>4</v>
      </c>
      <c r="C4" s="2" t="n">
        <v>1</v>
      </c>
      <c r="D4" s="2" t="n">
        <v>1</v>
      </c>
      <c r="E4" s="2" t="n">
        <v>2</v>
      </c>
      <c r="F4" s="2" t="inlineStr">
        <is>
          <t>65 GB</t>
        </is>
      </c>
      <c r="G4" s="2" t="inlineStr">
        <is>
          <t>320 GB</t>
        </is>
      </c>
      <c r="H4" s="8" t="inlineStr">
        <is>
          <t>PASS</t>
        </is>
      </c>
    </row>
    <row r="5">
      <c r="A5" s="2" t="inlineStr">
        <is>
          <t>70B MoE-64</t>
        </is>
      </c>
      <c r="B5" s="2" t="n">
        <v>32</v>
      </c>
      <c r="C5" s="2" t="n">
        <v>1</v>
      </c>
      <c r="D5" s="2" t="n">
        <v>4</v>
      </c>
      <c r="E5" s="2" t="n">
        <v>3</v>
      </c>
      <c r="F5" s="2" t="inlineStr">
        <is>
          <t>60 GB</t>
        </is>
      </c>
      <c r="G5" s="2" t="inlineStr">
        <is>
          <t>2.56 TB</t>
        </is>
      </c>
      <c r="H5" s="8" t="inlineStr">
        <is>
          <t>PASS</t>
        </is>
      </c>
    </row>
    <row r="7">
      <c r="A7" s="5" t="inlineStr">
        <is>
          <t>DISTRIBUTED TRAINING NOTES:</t>
        </is>
      </c>
    </row>
    <row r="8">
      <c r="A8" t="inlineStr">
        <is>
          <t>• EP = Expert Parallelism (experts split across GPUs)</t>
        </is>
      </c>
    </row>
    <row r="9">
      <c r="A9" t="inlineStr">
        <is>
          <t>• PP = Pipeline Parallelism (layers split across GPUs)</t>
        </is>
      </c>
    </row>
    <row r="10">
      <c r="A10" t="inlineStr">
        <is>
          <t>• ZeRO = Optimizer state sharding level (1=optimizer, 2=+grad, 3=+params)</t>
        </is>
      </c>
    </row>
    <row r="11">
      <c r="A11" t="inlineStr">
        <is>
          <t>• DeepSeek-V3 (671B): 2048 GPUs, 16-way PP, 64-way EP, ~60GB/GPU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Ceiling</t>
        </is>
      </c>
      <c r="D1" s="1" t="inlineStr">
        <is>
          <t>Actual</t>
        </is>
      </c>
      <c r="E1" s="1" t="inlineStr">
        <is>
          <t>Margin</t>
        </is>
      </c>
      <c r="F1" s="1" t="inlineStr">
        <is>
          <t>Status</t>
        </is>
      </c>
    </row>
    <row r="2">
      <c r="A2" s="2" t="inlineStr">
        <is>
          <t>3B MoE-8</t>
        </is>
      </c>
      <c r="B2" s="2" t="inlineStr">
        <is>
          <t>Max FLOPs/Token</t>
        </is>
      </c>
      <c r="C2" s="2" t="inlineStr">
        <is>
          <t>2.4B</t>
        </is>
      </c>
      <c r="D2" s="2" t="inlineStr">
        <is>
          <t>2.4B</t>
        </is>
      </c>
      <c r="E2" s="2" t="inlineStr">
        <is>
          <t>0%</t>
        </is>
      </c>
      <c r="F2" s="8" t="inlineStr">
        <is>
          <t>PASS</t>
        </is>
      </c>
    </row>
    <row r="3">
      <c r="A3" s="2" t="inlineStr">
        <is>
          <t>3B MoE-8</t>
        </is>
      </c>
      <c r="B3" s="2" t="inlineStr">
        <is>
          <t>Max Active Params</t>
        </is>
      </c>
      <c r="C3" s="2" t="inlineStr">
        <is>
          <t>1.5B</t>
        </is>
      </c>
      <c r="D3" s="2" t="inlineStr">
        <is>
          <t>1.2B</t>
        </is>
      </c>
      <c r="E3" s="2" t="inlineStr">
        <is>
          <t>20%</t>
        </is>
      </c>
      <c r="F3" s="8" t="inlineStr">
        <is>
          <t>PASS</t>
        </is>
      </c>
    </row>
    <row r="4">
      <c r="A4" s="2" t="inlineStr">
        <is>
          <t>3B MoE-8</t>
        </is>
      </c>
      <c r="B4" s="2" t="inlineStr">
        <is>
          <t>Max Total Params</t>
        </is>
      </c>
      <c r="C4" s="2" t="inlineStr">
        <is>
          <t>4B</t>
        </is>
      </c>
      <c r="D4" s="2" t="inlineStr">
        <is>
          <t>3B</t>
        </is>
      </c>
      <c r="E4" s="2" t="inlineStr">
        <is>
          <t>25%</t>
        </is>
      </c>
      <c r="F4" s="8" t="inlineStr">
        <is>
          <t>PASS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8B MoE-8</t>
        </is>
      </c>
      <c r="B6" s="2" t="inlineStr">
        <is>
          <t>Max FLOPs/Token</t>
        </is>
      </c>
      <c r="C6" s="2" t="inlineStr">
        <is>
          <t>6.4B</t>
        </is>
      </c>
      <c r="D6" s="2" t="inlineStr">
        <is>
          <t>6.4B</t>
        </is>
      </c>
      <c r="E6" s="2" t="inlineStr">
        <is>
          <t>0%</t>
        </is>
      </c>
      <c r="F6" s="8" t="inlineStr">
        <is>
          <t>PASS</t>
        </is>
      </c>
    </row>
    <row r="7">
      <c r="A7" s="2" t="inlineStr">
        <is>
          <t>8B MoE-8</t>
        </is>
      </c>
      <c r="B7" s="2" t="inlineStr">
        <is>
          <t>Max Active Params</t>
        </is>
      </c>
      <c r="C7" s="2" t="inlineStr">
        <is>
          <t>4B</t>
        </is>
      </c>
      <c r="D7" s="2" t="inlineStr">
        <is>
          <t>3.2B</t>
        </is>
      </c>
      <c r="E7" s="2" t="inlineStr">
        <is>
          <t>20%</t>
        </is>
      </c>
      <c r="F7" s="8" t="inlineStr">
        <is>
          <t>PASS</t>
        </is>
      </c>
    </row>
    <row r="8">
      <c r="A8" s="2" t="inlineStr">
        <is>
          <t>8B MoE-8</t>
        </is>
      </c>
      <c r="B8" s="2" t="inlineStr">
        <is>
          <t>Max Total Params</t>
        </is>
      </c>
      <c r="C8" s="2" t="inlineStr">
        <is>
          <t>10B</t>
        </is>
      </c>
      <c r="D8" s="2" t="inlineStr">
        <is>
          <t>8B</t>
        </is>
      </c>
      <c r="E8" s="2" t="inlineStr">
        <is>
          <t>20%</t>
        </is>
      </c>
      <c r="F8" s="8" t="inlineStr">
        <is>
          <t>PASS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70B MoE-64</t>
        </is>
      </c>
      <c r="B10" s="2" t="inlineStr">
        <is>
          <t>Max FLOPs/Token</t>
        </is>
      </c>
      <c r="C10" s="2" t="inlineStr">
        <is>
          <t>24B</t>
        </is>
      </c>
      <c r="D10" s="2" t="inlineStr">
        <is>
          <t>24B</t>
        </is>
      </c>
      <c r="E10" s="2" t="inlineStr">
        <is>
          <t>0%</t>
        </is>
      </c>
      <c r="F10" s="8" t="inlineStr">
        <is>
          <t>PASS</t>
        </is>
      </c>
    </row>
    <row r="11">
      <c r="A11" s="2" t="inlineStr">
        <is>
          <t>70B MoE-64</t>
        </is>
      </c>
      <c r="B11" s="2" t="inlineStr">
        <is>
          <t>Max Active Params</t>
        </is>
      </c>
      <c r="C11" s="2" t="inlineStr">
        <is>
          <t>15B</t>
        </is>
      </c>
      <c r="D11" s="2" t="inlineStr">
        <is>
          <t>12B</t>
        </is>
      </c>
      <c r="E11" s="2" t="inlineStr">
        <is>
          <t>20%</t>
        </is>
      </c>
      <c r="F11" s="8" t="inlineStr">
        <is>
          <t>PASS</t>
        </is>
      </c>
    </row>
    <row r="12">
      <c r="A12" s="2" t="inlineStr">
        <is>
          <t>70B MoE-64</t>
        </is>
      </c>
      <c r="B12" s="2" t="inlineStr">
        <is>
          <t>Max Total Params</t>
        </is>
      </c>
      <c r="C12" s="2" t="inlineStr">
        <is>
          <t>80B</t>
        </is>
      </c>
      <c r="D12" s="2" t="inlineStr">
        <is>
          <t>70B</t>
        </is>
      </c>
      <c r="E12" s="2" t="inlineStr">
        <is>
          <t>12.5%</t>
        </is>
      </c>
      <c r="F12" s="8" t="inlineStr">
        <is>
          <t>PASS</t>
        </is>
      </c>
    </row>
    <row r="14">
      <c r="A14" s="5" t="inlineStr">
        <is>
          <t>BUDGET COMPLIANCE NOTES:</t>
        </is>
      </c>
    </row>
    <row r="15">
      <c r="A15" t="inlineStr">
        <is>
          <t>• All models meet compute budget constraints</t>
        </is>
      </c>
    </row>
    <row r="16">
      <c r="A16" t="inlineStr">
        <is>
          <t>• FLOPs/Token = 2 × Active_Params (forward pass only)</t>
        </is>
      </c>
    </row>
    <row r="17">
      <c r="A17" t="inlineStr">
        <is>
          <t>• Active params determined by: shared_experts + top_k_routed</t>
        </is>
      </c>
    </row>
    <row r="18">
      <c r="A18" t="inlineStr">
        <is>
          <t>• Margin allows headroom for future scaling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ZettaFLOPs</t>
        </is>
      </c>
      <c r="C1" s="1" t="inlineStr">
        <is>
          <t>GPU Type</t>
        </is>
      </c>
      <c r="D1" s="1" t="inlineStr">
        <is>
          <t>GPU Hours</t>
        </is>
      </c>
      <c r="E1" s="1" t="inlineStr">
        <is>
          <t>Cost @ $2/hr</t>
        </is>
      </c>
      <c r="F1" s="1" t="inlineStr">
        <is>
          <t>Training Time (64 GPU)</t>
        </is>
      </c>
    </row>
    <row r="2">
      <c r="A2" s="2" t="inlineStr">
        <is>
          <t>1B Dense</t>
        </is>
      </c>
      <c r="B2" s="2" t="n">
        <v>0.6</v>
      </c>
      <c r="C2" s="2" t="inlineStr">
        <is>
          <t>A100-80GB</t>
        </is>
      </c>
      <c r="D2" s="2" t="inlineStr">
        <is>
          <t>4,400</t>
        </is>
      </c>
      <c r="E2" s="2" t="inlineStr">
        <is>
          <t>$8,800</t>
        </is>
      </c>
      <c r="F2" s="2" t="inlineStr">
        <is>
          <t>~3 days</t>
        </is>
      </c>
    </row>
    <row r="3">
      <c r="A3" s="2" t="inlineStr">
        <is>
          <t>3B MoE-8</t>
        </is>
      </c>
      <c r="B3" s="2" t="n">
        <v>3.6</v>
      </c>
      <c r="C3" s="2" t="inlineStr">
        <is>
          <t>A100-80GB</t>
        </is>
      </c>
      <c r="D3" s="2" t="inlineStr">
        <is>
          <t>26,400</t>
        </is>
      </c>
      <c r="E3" s="2" t="inlineStr">
        <is>
          <t>$52,800</t>
        </is>
      </c>
      <c r="F3" s="2" t="inlineStr">
        <is>
          <t>~17 days</t>
        </is>
      </c>
    </row>
    <row r="4">
      <c r="A4" s="2" t="inlineStr">
        <is>
          <t>8B MoE-8</t>
        </is>
      </c>
      <c r="B4" s="2" t="n">
        <v>19.2</v>
      </c>
      <c r="C4" s="2" t="inlineStr">
        <is>
          <t>A100-80GB</t>
        </is>
      </c>
      <c r="D4" s="2" t="inlineStr">
        <is>
          <t>141,000</t>
        </is>
      </c>
      <c r="E4" s="2" t="inlineStr">
        <is>
          <t>$282,000</t>
        </is>
      </c>
      <c r="F4" s="2" t="inlineStr">
        <is>
          <t>~92 days</t>
        </is>
      </c>
    </row>
    <row r="5">
      <c r="A5" s="2" t="inlineStr">
        <is>
          <t>70B MoE-64</t>
        </is>
      </c>
      <c r="B5" s="2" t="n">
        <v>144</v>
      </c>
      <c r="C5" s="2" t="inlineStr">
        <is>
          <t>H100-80GB</t>
        </is>
      </c>
      <c r="D5" s="2" t="inlineStr">
        <is>
          <t>530,000</t>
        </is>
      </c>
      <c r="E5" s="2" t="inlineStr">
        <is>
          <t>$1,060,000</t>
        </is>
      </c>
      <c r="F5" s="2" t="inlineStr">
        <is>
          <t>~345 days</t>
        </is>
      </c>
    </row>
    <row r="7">
      <c r="A7" s="5" t="inlineStr">
        <is>
          <t>REFERENCE: DeepSeek-V3 (671B)</t>
        </is>
      </c>
    </row>
    <row r="8">
      <c r="A8" t="inlineStr">
        <is>
          <t>• 2.788M H800 GPU hours</t>
        </is>
      </c>
    </row>
    <row r="9">
      <c r="A9" t="inlineStr">
        <is>
          <t>• ~$5.5M at $2/GPU-hr</t>
        </is>
      </c>
    </row>
    <row r="10">
      <c r="A10" t="inlineStr">
        <is>
          <t>• 2048 GPUs, ~2 months training</t>
        </is>
      </c>
    </row>
    <row r="11">
      <c r="A11" t="inlineStr">
        <is>
          <t>• Our 70B is ~20× smaller → proportionally less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2026-01-29T15:26:55Z</dcterms:created>
  <dcterms:modified xmlns:dcterms="http://purl.org/dc/terms/" xmlns:xsi="http://www.w3.org/2001/XMLSchema-instance" xsi:type="dcterms:W3CDTF">2026-01-29T15:26:55Z</dcterms:modified>
</cp:coreProperties>
</file>